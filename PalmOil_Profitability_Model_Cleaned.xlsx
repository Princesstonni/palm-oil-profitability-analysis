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0A568E5-178B-4ADE-90AA-0FE1207A2F03}" xr6:coauthVersionLast="47" xr6:coauthVersionMax="47" xr10:uidLastSave="{00000000-0000-0000-0000-000000000000}"/>
  <bookViews>
    <workbookView xWindow="-120" yWindow="-120" windowWidth="20730" windowHeight="11160" xr2:uid="{320D5A44-05A7-44CB-B538-E578FA799AC6}"/>
  </bookViews>
  <sheets>
    <sheet name="Model_Calculation" sheetId="1" r:id="rId1"/>
    <sheet name="Raw_Data" sheetId="2" r:id="rId2"/>
    <sheet name="Cleaned_Data" sheetId="3" r:id="rId3"/>
    <sheet name="Scenario_Summary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7" l="1"/>
  <c r="F4" i="7"/>
  <c r="F2" i="7"/>
  <c r="J6" i="1"/>
  <c r="H22" i="3"/>
  <c r="E22" i="3"/>
  <c r="E21" i="3"/>
  <c r="H21" i="3" s="1"/>
  <c r="H20" i="3"/>
  <c r="E20" i="3"/>
  <c r="H19" i="3"/>
  <c r="E19" i="3"/>
  <c r="H18" i="3"/>
  <c r="E18" i="3"/>
  <c r="H17" i="3"/>
  <c r="E17" i="3"/>
  <c r="H16" i="3"/>
  <c r="E16" i="3"/>
  <c r="H15" i="3"/>
  <c r="E15" i="3"/>
  <c r="H14" i="3"/>
  <c r="E14" i="3"/>
  <c r="H13" i="3"/>
  <c r="E13" i="3"/>
  <c r="H12" i="3"/>
  <c r="E12" i="3"/>
  <c r="H11" i="3"/>
  <c r="E11" i="3"/>
  <c r="H10" i="3"/>
  <c r="E10" i="3"/>
  <c r="H9" i="3"/>
  <c r="E9" i="3"/>
  <c r="H8" i="3"/>
  <c r="E8" i="3"/>
  <c r="H7" i="3"/>
  <c r="E7" i="3"/>
  <c r="H6" i="3"/>
  <c r="E6" i="3"/>
  <c r="H5" i="3"/>
  <c r="E5" i="3"/>
  <c r="H4" i="3"/>
  <c r="E4" i="3"/>
  <c r="H3" i="3"/>
  <c r="E3" i="3"/>
  <c r="H2" i="3"/>
  <c r="E2" i="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" i="1"/>
  <c r="K21" i="1"/>
  <c r="K22" i="1"/>
  <c r="J21" i="1"/>
  <c r="J22" i="1"/>
  <c r="I21" i="1"/>
  <c r="I22" i="1"/>
  <c r="H21" i="1"/>
  <c r="H22" i="1"/>
  <c r="H20" i="1"/>
  <c r="I20" i="1" s="1"/>
  <c r="J20" i="1"/>
  <c r="K18" i="1"/>
  <c r="K19" i="1"/>
  <c r="J18" i="1"/>
  <c r="J19" i="1"/>
  <c r="I18" i="1"/>
  <c r="I19" i="1"/>
  <c r="I17" i="1"/>
  <c r="J17" i="1"/>
  <c r="H18" i="1"/>
  <c r="H19" i="1"/>
  <c r="H17" i="1"/>
  <c r="K17" i="1"/>
  <c r="E21" i="1"/>
  <c r="E22" i="1"/>
  <c r="E20" i="1"/>
  <c r="E18" i="1"/>
  <c r="E19" i="1"/>
  <c r="E17" i="1"/>
  <c r="K3" i="1"/>
  <c r="K4" i="1"/>
  <c r="K5" i="1"/>
  <c r="K6" i="1"/>
  <c r="K7" i="1"/>
  <c r="K2" i="1"/>
  <c r="J3" i="1"/>
  <c r="J4" i="1"/>
  <c r="J5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E6" i="1"/>
  <c r="E7" i="1"/>
  <c r="E5" i="1"/>
  <c r="K15" i="1"/>
  <c r="K16" i="1"/>
  <c r="J15" i="1"/>
  <c r="J16" i="1"/>
  <c r="I15" i="1"/>
  <c r="I16" i="1"/>
  <c r="I14" i="1"/>
  <c r="J14" i="1"/>
  <c r="H15" i="1"/>
  <c r="H16" i="1"/>
  <c r="H14" i="1"/>
  <c r="K14" i="1"/>
  <c r="E3" i="1"/>
  <c r="E4" i="1"/>
  <c r="E2" i="1"/>
  <c r="E15" i="1"/>
  <c r="E16" i="1"/>
  <c r="E14" i="1"/>
  <c r="J9" i="1"/>
  <c r="J10" i="1"/>
  <c r="J11" i="1"/>
  <c r="J12" i="1"/>
  <c r="J13" i="1"/>
  <c r="J8" i="1"/>
  <c r="H9" i="1"/>
  <c r="K9" i="1" s="1"/>
  <c r="H12" i="1"/>
  <c r="K12" i="1" s="1"/>
  <c r="H13" i="1"/>
  <c r="K13" i="1" s="1"/>
  <c r="E9" i="1"/>
  <c r="E10" i="1"/>
  <c r="H10" i="1" s="1"/>
  <c r="E8" i="1"/>
  <c r="H8" i="1" s="1"/>
  <c r="E12" i="1"/>
  <c r="E13" i="1"/>
  <c r="E11" i="1"/>
  <c r="H11" i="1" s="1"/>
  <c r="K20" i="1" l="1"/>
  <c r="K8" i="1"/>
  <c r="I8" i="1"/>
  <c r="K11" i="1"/>
  <c r="I11" i="1"/>
  <c r="K10" i="1"/>
  <c r="I10" i="1"/>
  <c r="I13" i="1"/>
  <c r="I9" i="1"/>
  <c r="I12" i="1"/>
</calcChain>
</file>

<file path=xl/sharedStrings.xml><?xml version="1.0" encoding="utf-8"?>
<sst xmlns="http://schemas.openxmlformats.org/spreadsheetml/2006/main" count="105" uniqueCount="32">
  <si>
    <t>Year</t>
  </si>
  <si>
    <t>State</t>
  </si>
  <si>
    <t>Production_t</t>
  </si>
  <si>
    <t>Area_ha</t>
  </si>
  <si>
    <t>Cost_per_ha</t>
  </si>
  <si>
    <t>Price_per_t</t>
  </si>
  <si>
    <t>Profit_per_ha</t>
  </si>
  <si>
    <t>Revenue_per_ha</t>
  </si>
  <si>
    <t>Required_area_1Billion</t>
  </si>
  <si>
    <t>Edo</t>
  </si>
  <si>
    <t>Ondo</t>
  </si>
  <si>
    <t>Cross River</t>
  </si>
  <si>
    <t xml:space="preserve">Yield_t_ha </t>
  </si>
  <si>
    <t>Break-even_per_t</t>
  </si>
  <si>
    <t>Scenario</t>
  </si>
  <si>
    <t>Adj_Yield_t_ha</t>
  </si>
  <si>
    <t>Adj_Price_per_t</t>
  </si>
  <si>
    <t>Adj_Cost_per_ha</t>
  </si>
  <si>
    <t>Adj_Revenue_per_ha</t>
  </si>
  <si>
    <t>Adj_Profit_per_ha</t>
  </si>
  <si>
    <t>Adj_Reg_area_1Billion</t>
  </si>
  <si>
    <t xml:space="preserve">Revenue </t>
  </si>
  <si>
    <t>Profit b4 tax</t>
  </si>
  <si>
    <t>Conservative</t>
  </si>
  <si>
    <t>Base</t>
  </si>
  <si>
    <t>Optimistic</t>
  </si>
  <si>
    <t>Yield_Adj</t>
  </si>
  <si>
    <t>Price_Adj</t>
  </si>
  <si>
    <t>Cost_Adj</t>
  </si>
  <si>
    <t>Example_Profit_per_ha</t>
  </si>
  <si>
    <t>Example_R-Area_1Billion</t>
  </si>
  <si>
    <t>Required area= 1,000,000,000 / Profit_per_ha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</si>
</sst>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₦#,##0"/>
    <numFmt numFmtId="165" formatCode="\₦#,##0;\₦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17</xdr:row>
      <xdr:rowOff>41280</xdr:rowOff>
    </xdr:from>
    <xdr:to>
      <xdr:col>12</xdr:col>
      <xdr:colOff>32040</xdr:colOff>
      <xdr:row>21</xdr:row>
      <xdr:rowOff>122760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BD97F8B-3A63-896D-CA32-5F3759605C6E}"/>
                </a:ext>
              </a:extLst>
            </xdr14:cNvPr>
            <xdr14:cNvContentPartPr/>
          </xdr14:nvContentPartPr>
          <xdr14:nvPr macro=""/>
          <xdr14:xfrm>
            <a:off x="11892960" y="3279780"/>
            <a:ext cx="32040" cy="8434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BD97F8B-3A63-896D-CA32-5F3759605C6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886840" y="3273660"/>
              <a:ext cx="44280" cy="85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91335</xdr:colOff>
      <xdr:row>19</xdr:row>
      <xdr:rowOff>133860</xdr:rowOff>
    </xdr:from>
    <xdr:to>
      <xdr:col>12</xdr:col>
      <xdr:colOff>91695</xdr:colOff>
      <xdr:row>19</xdr:row>
      <xdr:rowOff>134220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E425442-BF98-0CEA-FD03-1A4EF9C9BE58}"/>
                </a:ext>
              </a:extLst>
            </xdr14:cNvPr>
            <xdr14:cNvContentPartPr/>
          </xdr14:nvContentPartPr>
          <xdr14:nvPr macro=""/>
          <xdr14:xfrm>
            <a:off x="11797560" y="375336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E425442-BF98-0CEA-FD03-1A4EF9C9BE5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791440" y="37472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7:14:35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0,'0'1022'0,"0"-828"0,14 47 0,-11-178 0,57 667 0,-50-637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7:19:46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0,'0'0'0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A0F7-63A1-44C4-A1A9-5E68F0C41146}">
  <dimension ref="A1:R22"/>
  <sheetViews>
    <sheetView tabSelected="1" workbookViewId="0">
      <selection activeCell="J3" sqref="J3"/>
    </sheetView>
  </sheetViews>
  <sheetFormatPr defaultRowHeight="15" x14ac:dyDescent="0.25"/>
  <cols>
    <col min="1" max="1" width="9.28515625" customWidth="1"/>
    <col min="2" max="2" width="13.42578125" customWidth="1"/>
    <col min="3" max="3" width="13.85546875" style="1" customWidth="1"/>
    <col min="4" max="4" width="9.140625" style="1"/>
    <col min="5" max="5" width="14" style="8" customWidth="1"/>
    <col min="6" max="6" width="15.42578125" style="5" customWidth="1"/>
    <col min="7" max="7" width="15.140625" style="5" customWidth="1"/>
    <col min="8" max="8" width="16.140625" style="5" customWidth="1"/>
    <col min="9" max="9" width="15.85546875" style="5" customWidth="1"/>
    <col min="10" max="10" width="19.42578125" style="8" customWidth="1"/>
    <col min="11" max="11" width="23.5703125" style="1" customWidth="1"/>
    <col min="12" max="12" width="13.42578125" style="2" customWidth="1"/>
    <col min="13" max="13" width="15.42578125" style="7" customWidth="1"/>
    <col min="14" max="14" width="15.7109375" style="4" customWidth="1"/>
    <col min="15" max="15" width="16" style="4" customWidth="1"/>
    <col min="16" max="16" width="17" style="4" customWidth="1"/>
    <col min="17" max="17" width="14.42578125" style="4" customWidth="1"/>
    <col min="18" max="18" width="13.42578125" style="3" customWidth="1"/>
  </cols>
  <sheetData>
    <row r="1" spans="1:18" x14ac:dyDescent="0.25">
      <c r="A1" s="2" t="s">
        <v>0</v>
      </c>
      <c r="B1" s="2" t="s">
        <v>1</v>
      </c>
      <c r="C1" s="3" t="s">
        <v>2</v>
      </c>
      <c r="D1" s="3" t="s">
        <v>3</v>
      </c>
      <c r="E1" s="7" t="s">
        <v>12</v>
      </c>
      <c r="F1" s="4" t="s">
        <v>5</v>
      </c>
      <c r="G1" s="4" t="s">
        <v>4</v>
      </c>
      <c r="H1" s="4" t="s">
        <v>7</v>
      </c>
      <c r="I1" s="4" t="s">
        <v>6</v>
      </c>
      <c r="J1" s="7" t="s">
        <v>13</v>
      </c>
      <c r="K1" s="3" t="s">
        <v>8</v>
      </c>
      <c r="L1" s="2" t="s">
        <v>14</v>
      </c>
      <c r="M1" s="7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3" t="s">
        <v>20</v>
      </c>
    </row>
    <row r="2" spans="1:18" x14ac:dyDescent="0.25">
      <c r="A2" s="2">
        <v>2019</v>
      </c>
      <c r="B2" s="2" t="s">
        <v>9</v>
      </c>
      <c r="C2" s="3">
        <v>488000</v>
      </c>
      <c r="D2" s="3">
        <v>11416</v>
      </c>
      <c r="E2" s="7">
        <f>C2/D2</f>
        <v>42.747021723896289</v>
      </c>
      <c r="F2" s="4">
        <v>38662</v>
      </c>
      <c r="G2" s="4">
        <v>857260</v>
      </c>
      <c r="H2" s="4">
        <f>E2*F2</f>
        <v>1652685.3538892784</v>
      </c>
      <c r="I2" s="4">
        <f>H2-G2</f>
        <v>795425.35388927837</v>
      </c>
      <c r="J2" s="7">
        <f>G2/F2</f>
        <v>22.173193316434741</v>
      </c>
      <c r="K2" s="3">
        <f>1000000000/H2</f>
        <v>605.0758528516584</v>
      </c>
      <c r="L2" s="2" t="str">
        <f>IF(A2&lt;=2021, "Conservative",IF(A2&lt;=2023,"Base","Optimistic"))</f>
        <v>Conservative</v>
      </c>
      <c r="M2" s="7">
        <f>IF(L2="Conservative",E2*0.8,IF(L2="Optimistic",E2*1.1,E2))</f>
        <v>34.197617379117034</v>
      </c>
      <c r="N2" s="4">
        <f>IF(L2="Conservative",F2*0.9,IF(L2="Optimistic",F2*1.1,F2))</f>
        <v>34795.800000000003</v>
      </c>
      <c r="O2" s="4">
        <f>IF(L2="Conservative",G2*1.1,IF(L2="Optimistic",G2*0.9,G2))</f>
        <v>942986.00000000012</v>
      </c>
      <c r="P2" s="4">
        <f>M2*N2</f>
        <v>1189933.4548002805</v>
      </c>
      <c r="Q2" s="4">
        <f>P2-O2</f>
        <v>246947.45480028039</v>
      </c>
      <c r="R2" s="3">
        <f>IF(Q2&gt;0,1000000000/Q2,"Loss")</f>
        <v>4049.4444488555409</v>
      </c>
    </row>
    <row r="3" spans="1:18" x14ac:dyDescent="0.25">
      <c r="A3" s="2">
        <v>2019</v>
      </c>
      <c r="B3" s="2" t="s">
        <v>10</v>
      </c>
      <c r="C3" s="3">
        <v>427000</v>
      </c>
      <c r="D3" s="3">
        <v>11416</v>
      </c>
      <c r="E3" s="7">
        <f t="shared" ref="E3:E4" si="0">C3/D3</f>
        <v>37.403644008409252</v>
      </c>
      <c r="F3" s="4">
        <v>38662</v>
      </c>
      <c r="G3" s="4">
        <v>857260</v>
      </c>
      <c r="H3" s="4">
        <f t="shared" ref="H3:H7" si="1">E3*F3</f>
        <v>1446099.6846531185</v>
      </c>
      <c r="I3" s="4">
        <f t="shared" ref="I3:I7" si="2">H3-G3</f>
        <v>588839.68465311849</v>
      </c>
      <c r="J3" s="7">
        <f t="shared" ref="J3:J7" si="3">G3/F3</f>
        <v>22.173193316434741</v>
      </c>
      <c r="K3" s="3">
        <f t="shared" ref="K3:K7" si="4">1000000000/H3</f>
        <v>691.51526040189538</v>
      </c>
      <c r="L3" s="2" t="str">
        <f t="shared" ref="L3:L22" si="5">IF(A3&lt;=2021, "Conservative",IF(A3&lt;=2023,"Base","Optimistic"))</f>
        <v>Conservative</v>
      </c>
      <c r="M3" s="7">
        <f t="shared" ref="M3:M22" si="6">IF(L3="Conservative",E3*0.8,IF(L3="Optimistic",E3*1.1,E3))</f>
        <v>29.922915206727403</v>
      </c>
      <c r="N3" s="4">
        <f t="shared" ref="N3:N22" si="7">IF(L3="Conservative",F3*0.9,IF(L3="Optimistic",F3*1.1,F3))</f>
        <v>34795.800000000003</v>
      </c>
      <c r="O3" s="4">
        <f t="shared" ref="O3:O22" si="8">IF(L3="Conservative",G3*1.1,IF(L3="Optimistic",G3*0.9,G3))</f>
        <v>942986.00000000012</v>
      </c>
      <c r="P3" s="4">
        <f t="shared" ref="P3:P22" si="9">M3*N3</f>
        <v>1041191.7729502454</v>
      </c>
      <c r="Q3" s="4">
        <f t="shared" ref="Q3:Q22" si="10">P3-O3</f>
        <v>98205.7729502453</v>
      </c>
      <c r="R3" s="3">
        <f t="shared" ref="R3:R22" si="11">IF(Q3&gt;0,1000000000/Q3,"Loss")</f>
        <v>10182.700771640351</v>
      </c>
    </row>
    <row r="4" spans="1:18" x14ac:dyDescent="0.25">
      <c r="A4" s="2">
        <v>2019</v>
      </c>
      <c r="B4" s="2" t="s">
        <v>11</v>
      </c>
      <c r="C4" s="3">
        <v>305000</v>
      </c>
      <c r="D4" s="3">
        <v>11416</v>
      </c>
      <c r="E4" s="7">
        <f t="shared" si="0"/>
        <v>26.716888577435178</v>
      </c>
      <c r="F4" s="4">
        <v>38662</v>
      </c>
      <c r="G4" s="4">
        <v>857260</v>
      </c>
      <c r="H4" s="4">
        <f t="shared" si="1"/>
        <v>1032928.3461807988</v>
      </c>
      <c r="I4" s="4">
        <f t="shared" si="2"/>
        <v>175668.34618079884</v>
      </c>
      <c r="J4" s="7">
        <f t="shared" si="3"/>
        <v>22.173193316434741</v>
      </c>
      <c r="K4" s="3">
        <f t="shared" si="4"/>
        <v>968.12136456265364</v>
      </c>
      <c r="L4" s="2" t="str">
        <f t="shared" si="5"/>
        <v>Conservative</v>
      </c>
      <c r="M4" s="7">
        <f t="shared" si="6"/>
        <v>21.373510861948144</v>
      </c>
      <c r="N4" s="4">
        <f t="shared" si="7"/>
        <v>34795.800000000003</v>
      </c>
      <c r="O4" s="4">
        <f t="shared" si="8"/>
        <v>942986.00000000012</v>
      </c>
      <c r="P4" s="4">
        <f t="shared" si="9"/>
        <v>743708.40925017535</v>
      </c>
      <c r="Q4" s="6">
        <f t="shared" si="10"/>
        <v>-199277.59074982477</v>
      </c>
      <c r="R4" s="3" t="str">
        <f t="shared" si="11"/>
        <v>Loss</v>
      </c>
    </row>
    <row r="5" spans="1:18" x14ac:dyDescent="0.25">
      <c r="A5" s="2">
        <v>2020</v>
      </c>
      <c r="B5" s="2" t="s">
        <v>9</v>
      </c>
      <c r="C5" s="3">
        <v>512000</v>
      </c>
      <c r="D5" s="3">
        <v>15654</v>
      </c>
      <c r="E5" s="7">
        <f>C5/D5</f>
        <v>32.707295259997444</v>
      </c>
      <c r="F5" s="4">
        <v>45724</v>
      </c>
      <c r="G5" s="4">
        <v>940064</v>
      </c>
      <c r="H5" s="4">
        <f t="shared" si="1"/>
        <v>1495508.3684681233</v>
      </c>
      <c r="I5" s="4">
        <f t="shared" si="2"/>
        <v>555444.36846812326</v>
      </c>
      <c r="J5" s="7">
        <f t="shared" si="3"/>
        <v>20.559531099641326</v>
      </c>
      <c r="K5" s="3">
        <f t="shared" si="4"/>
        <v>668.66894300586125</v>
      </c>
      <c r="L5" s="2" t="str">
        <f t="shared" si="5"/>
        <v>Conservative</v>
      </c>
      <c r="M5" s="7">
        <f t="shared" si="6"/>
        <v>26.165836207997955</v>
      </c>
      <c r="N5" s="4">
        <f t="shared" si="7"/>
        <v>41151.599999999999</v>
      </c>
      <c r="O5" s="4">
        <f t="shared" si="8"/>
        <v>1034070.4000000001</v>
      </c>
      <c r="P5" s="4">
        <f t="shared" si="9"/>
        <v>1076766.0252970487</v>
      </c>
      <c r="Q5" s="4">
        <f t="shared" si="10"/>
        <v>42695.625297048595</v>
      </c>
      <c r="R5" s="3">
        <f t="shared" si="11"/>
        <v>23421.60333857733</v>
      </c>
    </row>
    <row r="6" spans="1:18" x14ac:dyDescent="0.25">
      <c r="A6" s="2">
        <v>2020</v>
      </c>
      <c r="B6" s="2" t="s">
        <v>10</v>
      </c>
      <c r="C6" s="3">
        <v>448000</v>
      </c>
      <c r="D6" s="3">
        <v>15654</v>
      </c>
      <c r="E6" s="7">
        <f t="shared" ref="E6:E7" si="12">C6/D6</f>
        <v>28.618883352497765</v>
      </c>
      <c r="F6" s="4">
        <v>45724</v>
      </c>
      <c r="G6" s="4">
        <v>940064</v>
      </c>
      <c r="H6" s="4">
        <f t="shared" si="1"/>
        <v>1308569.8224096077</v>
      </c>
      <c r="I6" s="4">
        <f t="shared" si="2"/>
        <v>368505.8224096077</v>
      </c>
      <c r="J6" s="7">
        <f>G6/F6</f>
        <v>20.559531099641326</v>
      </c>
      <c r="K6" s="3">
        <f t="shared" si="4"/>
        <v>764.19307772098432</v>
      </c>
      <c r="L6" s="2" t="str">
        <f t="shared" si="5"/>
        <v>Conservative</v>
      </c>
      <c r="M6" s="7">
        <f t="shared" si="6"/>
        <v>22.895106681998215</v>
      </c>
      <c r="N6" s="4">
        <f t="shared" si="7"/>
        <v>41151.599999999999</v>
      </c>
      <c r="O6" s="4">
        <f t="shared" si="8"/>
        <v>1034070.4000000001</v>
      </c>
      <c r="P6" s="4">
        <f t="shared" si="9"/>
        <v>942170.27213491767</v>
      </c>
      <c r="Q6" s="6">
        <f t="shared" si="10"/>
        <v>-91900.127865082468</v>
      </c>
      <c r="R6" s="3" t="str">
        <f t="shared" si="11"/>
        <v>Loss</v>
      </c>
    </row>
    <row r="7" spans="1:18" x14ac:dyDescent="0.25">
      <c r="A7" s="2">
        <v>2020</v>
      </c>
      <c r="B7" s="2" t="s">
        <v>11</v>
      </c>
      <c r="C7" s="3">
        <v>320000</v>
      </c>
      <c r="D7" s="3">
        <v>15654</v>
      </c>
      <c r="E7" s="7">
        <f t="shared" si="12"/>
        <v>20.442059537498402</v>
      </c>
      <c r="F7" s="4">
        <v>45724</v>
      </c>
      <c r="G7" s="4">
        <v>940064</v>
      </c>
      <c r="H7" s="4">
        <f t="shared" si="1"/>
        <v>934692.73029257695</v>
      </c>
      <c r="I7" s="6">
        <f t="shared" si="2"/>
        <v>-5371.2697074230528</v>
      </c>
      <c r="J7" s="7">
        <f t="shared" si="3"/>
        <v>20.559531099641326</v>
      </c>
      <c r="K7" s="3">
        <f t="shared" si="4"/>
        <v>1069.870308809378</v>
      </c>
      <c r="L7" s="2" t="str">
        <f t="shared" si="5"/>
        <v>Conservative</v>
      </c>
      <c r="M7" s="7">
        <f t="shared" si="6"/>
        <v>16.353647629998722</v>
      </c>
      <c r="N7" s="4">
        <f t="shared" si="7"/>
        <v>41151.599999999999</v>
      </c>
      <c r="O7" s="4">
        <f t="shared" si="8"/>
        <v>1034070.4000000001</v>
      </c>
      <c r="P7" s="4">
        <f t="shared" si="9"/>
        <v>672978.76581065543</v>
      </c>
      <c r="Q7" s="6">
        <f t="shared" si="10"/>
        <v>-361091.63418934471</v>
      </c>
      <c r="R7" s="3" t="str">
        <f t="shared" si="11"/>
        <v>Loss</v>
      </c>
    </row>
    <row r="8" spans="1:18" x14ac:dyDescent="0.25">
      <c r="A8" s="2">
        <v>2021</v>
      </c>
      <c r="B8" s="2" t="s">
        <v>9</v>
      </c>
      <c r="C8" s="3">
        <v>540000</v>
      </c>
      <c r="D8" s="3">
        <v>18879</v>
      </c>
      <c r="E8" s="7">
        <f>C8/D8</f>
        <v>28.603209915779438</v>
      </c>
      <c r="F8" s="4">
        <v>69249</v>
      </c>
      <c r="G8" s="4">
        <v>1127164</v>
      </c>
      <c r="H8" s="4">
        <f>E8*F8</f>
        <v>1980743.6834578102</v>
      </c>
      <c r="I8" s="4">
        <f>H8-G8</f>
        <v>853579.6834578102</v>
      </c>
      <c r="J8" s="7">
        <f>G8/F8</f>
        <v>16.276971508613844</v>
      </c>
      <c r="K8" s="3">
        <f>1000000000/H8</f>
        <v>504.86088046197222</v>
      </c>
      <c r="L8" s="2" t="str">
        <f t="shared" si="5"/>
        <v>Conservative</v>
      </c>
      <c r="M8" s="7">
        <f t="shared" si="6"/>
        <v>22.882567932623552</v>
      </c>
      <c r="N8" s="4">
        <f t="shared" si="7"/>
        <v>62324.1</v>
      </c>
      <c r="O8" s="4">
        <f t="shared" si="8"/>
        <v>1239880.4000000001</v>
      </c>
      <c r="P8" s="4">
        <f t="shared" si="9"/>
        <v>1426135.4520896235</v>
      </c>
      <c r="Q8" s="4">
        <f t="shared" si="10"/>
        <v>186255.05208962341</v>
      </c>
      <c r="R8" s="3">
        <f t="shared" si="11"/>
        <v>5368.9818814622731</v>
      </c>
    </row>
    <row r="9" spans="1:18" x14ac:dyDescent="0.25">
      <c r="A9" s="2">
        <v>2021</v>
      </c>
      <c r="B9" s="2" t="s">
        <v>10</v>
      </c>
      <c r="C9" s="3">
        <v>472000</v>
      </c>
      <c r="D9" s="3">
        <v>18879</v>
      </c>
      <c r="E9" s="7">
        <f t="shared" ref="E9:E10" si="13">C9/D9</f>
        <v>25.001324222681287</v>
      </c>
      <c r="F9" s="4">
        <v>69249</v>
      </c>
      <c r="G9" s="4">
        <v>1127164</v>
      </c>
      <c r="H9" s="4">
        <f t="shared" ref="H9:H19" si="14">E9*F9</f>
        <v>1731316.7010964565</v>
      </c>
      <c r="I9" s="4">
        <f t="shared" ref="I9:I22" si="15">H9-G9</f>
        <v>604152.7010964565</v>
      </c>
      <c r="J9" s="7">
        <f t="shared" ref="J9:J22" si="16">G9/F9</f>
        <v>16.276971508613844</v>
      </c>
      <c r="K9" s="3">
        <f t="shared" ref="K9:K22" si="17">1000000000/H9</f>
        <v>577.59507510479864</v>
      </c>
      <c r="L9" s="2" t="str">
        <f t="shared" si="5"/>
        <v>Conservative</v>
      </c>
      <c r="M9" s="7">
        <f t="shared" si="6"/>
        <v>20.00105937814503</v>
      </c>
      <c r="N9" s="4">
        <f t="shared" si="7"/>
        <v>62324.1</v>
      </c>
      <c r="O9" s="4">
        <f t="shared" si="8"/>
        <v>1239880.4000000001</v>
      </c>
      <c r="P9" s="4">
        <f t="shared" si="9"/>
        <v>1246548.0247894486</v>
      </c>
      <c r="Q9" s="4">
        <f t="shared" si="10"/>
        <v>6667.624789448455</v>
      </c>
      <c r="R9" s="3">
        <f t="shared" si="11"/>
        <v>149978.44533521208</v>
      </c>
    </row>
    <row r="10" spans="1:18" x14ac:dyDescent="0.25">
      <c r="A10" s="2">
        <v>2021</v>
      </c>
      <c r="B10" s="2" t="s">
        <v>11</v>
      </c>
      <c r="C10" s="3">
        <v>337500</v>
      </c>
      <c r="D10" s="3">
        <v>18879</v>
      </c>
      <c r="E10" s="7">
        <f t="shared" si="13"/>
        <v>17.877006197362149</v>
      </c>
      <c r="F10" s="4">
        <v>69249</v>
      </c>
      <c r="G10" s="4">
        <v>1127164</v>
      </c>
      <c r="H10" s="4">
        <f t="shared" si="14"/>
        <v>1237964.8021611315</v>
      </c>
      <c r="I10" s="4">
        <f t="shared" si="15"/>
        <v>110800.80216113152</v>
      </c>
      <c r="J10" s="7">
        <f t="shared" si="16"/>
        <v>16.276971508613844</v>
      </c>
      <c r="K10" s="3">
        <f t="shared" si="17"/>
        <v>807.77740873915536</v>
      </c>
      <c r="L10" s="2" t="str">
        <f t="shared" si="5"/>
        <v>Conservative</v>
      </c>
      <c r="M10" s="7">
        <f t="shared" si="6"/>
        <v>14.301604957889721</v>
      </c>
      <c r="N10" s="4">
        <f t="shared" si="7"/>
        <v>62324.1</v>
      </c>
      <c r="O10" s="4">
        <f t="shared" si="8"/>
        <v>1239880.4000000001</v>
      </c>
      <c r="P10" s="4">
        <f t="shared" si="9"/>
        <v>891334.65755601472</v>
      </c>
      <c r="Q10" s="6">
        <f t="shared" si="10"/>
        <v>-348545.74244398542</v>
      </c>
      <c r="R10" s="3" t="str">
        <f t="shared" si="11"/>
        <v>Loss</v>
      </c>
    </row>
    <row r="11" spans="1:18" x14ac:dyDescent="0.25">
      <c r="A11" s="2">
        <v>2022</v>
      </c>
      <c r="B11" s="2" t="s">
        <v>9</v>
      </c>
      <c r="C11" s="3">
        <v>568000</v>
      </c>
      <c r="D11" s="3">
        <v>19060</v>
      </c>
      <c r="E11" s="7">
        <f>C11/D11</f>
        <v>29.800629590766</v>
      </c>
      <c r="F11" s="4">
        <v>55928</v>
      </c>
      <c r="G11" s="4">
        <v>1512894</v>
      </c>
      <c r="H11" s="4">
        <f t="shared" si="14"/>
        <v>1666689.6117523608</v>
      </c>
      <c r="I11" s="4">
        <f t="shared" si="15"/>
        <v>153795.61175236083</v>
      </c>
      <c r="J11" s="7">
        <f t="shared" si="16"/>
        <v>27.050743813474469</v>
      </c>
      <c r="K11" s="3">
        <f t="shared" si="17"/>
        <v>599.99173988286759</v>
      </c>
      <c r="L11" s="2" t="str">
        <f t="shared" si="5"/>
        <v>Base</v>
      </c>
      <c r="M11" s="7">
        <f t="shared" si="6"/>
        <v>29.800629590766</v>
      </c>
      <c r="N11" s="4">
        <f t="shared" si="7"/>
        <v>55928</v>
      </c>
      <c r="O11" s="4">
        <f t="shared" si="8"/>
        <v>1512894</v>
      </c>
      <c r="P11" s="4">
        <f t="shared" si="9"/>
        <v>1666689.6117523608</v>
      </c>
      <c r="Q11" s="4">
        <f t="shared" si="10"/>
        <v>153795.61175236083</v>
      </c>
      <c r="R11" s="3">
        <f t="shared" si="11"/>
        <v>6502.1361052237535</v>
      </c>
    </row>
    <row r="12" spans="1:18" x14ac:dyDescent="0.25">
      <c r="A12" s="2">
        <v>2022</v>
      </c>
      <c r="B12" s="2" t="s">
        <v>10</v>
      </c>
      <c r="C12" s="3">
        <v>497000</v>
      </c>
      <c r="D12" s="3">
        <v>19060</v>
      </c>
      <c r="E12" s="7">
        <f t="shared" ref="E12:E22" si="18">C12/D12</f>
        <v>26.075550891920251</v>
      </c>
      <c r="F12" s="4">
        <v>55928</v>
      </c>
      <c r="G12" s="4">
        <v>1512894</v>
      </c>
      <c r="H12" s="4">
        <f t="shared" si="14"/>
        <v>1458353.4102833157</v>
      </c>
      <c r="I12" s="6">
        <f t="shared" si="15"/>
        <v>-54540.589716684306</v>
      </c>
      <c r="J12" s="7">
        <f t="shared" si="16"/>
        <v>27.050743813474469</v>
      </c>
      <c r="K12" s="3">
        <f t="shared" si="17"/>
        <v>685.70484558042006</v>
      </c>
      <c r="L12" s="2" t="str">
        <f t="shared" si="5"/>
        <v>Base</v>
      </c>
      <c r="M12" s="7">
        <f t="shared" si="6"/>
        <v>26.075550891920251</v>
      </c>
      <c r="N12" s="4">
        <f t="shared" si="7"/>
        <v>55928</v>
      </c>
      <c r="O12" s="4">
        <f t="shared" si="8"/>
        <v>1512894</v>
      </c>
      <c r="P12" s="4">
        <f t="shared" si="9"/>
        <v>1458353.4102833157</v>
      </c>
      <c r="Q12" s="6">
        <f t="shared" si="10"/>
        <v>-54540.589716684306</v>
      </c>
      <c r="R12" s="3" t="str">
        <f t="shared" si="11"/>
        <v>Loss</v>
      </c>
    </row>
    <row r="13" spans="1:18" x14ac:dyDescent="0.25">
      <c r="A13" s="2">
        <v>2022</v>
      </c>
      <c r="B13" s="2" t="s">
        <v>11</v>
      </c>
      <c r="C13" s="3">
        <v>355000</v>
      </c>
      <c r="D13" s="3">
        <v>19060</v>
      </c>
      <c r="E13" s="7">
        <f t="shared" si="18"/>
        <v>18.625393494228753</v>
      </c>
      <c r="F13" s="4">
        <v>55928</v>
      </c>
      <c r="G13" s="4">
        <v>1512894</v>
      </c>
      <c r="H13" s="4">
        <f t="shared" si="14"/>
        <v>1041681.0073452257</v>
      </c>
      <c r="I13" s="6">
        <f t="shared" si="15"/>
        <v>-471212.99265477434</v>
      </c>
      <c r="J13" s="7">
        <f t="shared" si="16"/>
        <v>27.050743813474469</v>
      </c>
      <c r="K13" s="3">
        <f t="shared" si="17"/>
        <v>959.98678381258799</v>
      </c>
      <c r="L13" s="2" t="str">
        <f t="shared" si="5"/>
        <v>Base</v>
      </c>
      <c r="M13" s="7">
        <f t="shared" si="6"/>
        <v>18.625393494228753</v>
      </c>
      <c r="N13" s="4">
        <f t="shared" si="7"/>
        <v>55928</v>
      </c>
      <c r="O13" s="4">
        <f t="shared" si="8"/>
        <v>1512894</v>
      </c>
      <c r="P13" s="4">
        <f t="shared" si="9"/>
        <v>1041681.0073452257</v>
      </c>
      <c r="Q13" s="6">
        <f t="shared" si="10"/>
        <v>-471212.99265477434</v>
      </c>
      <c r="R13" s="3" t="str">
        <f t="shared" si="11"/>
        <v>Loss</v>
      </c>
    </row>
    <row r="14" spans="1:18" x14ac:dyDescent="0.25">
      <c r="A14" s="2">
        <v>2023</v>
      </c>
      <c r="B14" s="2" t="s">
        <v>9</v>
      </c>
      <c r="C14" s="3">
        <v>596000</v>
      </c>
      <c r="D14" s="3">
        <v>19044</v>
      </c>
      <c r="E14" s="7">
        <f t="shared" si="18"/>
        <v>31.295946229783659</v>
      </c>
      <c r="F14" s="4">
        <v>112477</v>
      </c>
      <c r="G14" s="4">
        <v>1791744</v>
      </c>
      <c r="H14" s="4">
        <f t="shared" si="14"/>
        <v>3520074.1440873765</v>
      </c>
      <c r="I14" s="4">
        <f t="shared" si="15"/>
        <v>1728330.1440873765</v>
      </c>
      <c r="J14" s="7">
        <f t="shared" si="16"/>
        <v>15.929870106777386</v>
      </c>
      <c r="K14" s="3">
        <f t="shared" si="17"/>
        <v>284.08492522229602</v>
      </c>
      <c r="L14" s="2" t="str">
        <f t="shared" si="5"/>
        <v>Base</v>
      </c>
      <c r="M14" s="7">
        <f t="shared" si="6"/>
        <v>31.295946229783659</v>
      </c>
      <c r="N14" s="4">
        <f t="shared" si="7"/>
        <v>112477</v>
      </c>
      <c r="O14" s="4">
        <f t="shared" si="8"/>
        <v>1791744</v>
      </c>
      <c r="P14" s="4">
        <f t="shared" si="9"/>
        <v>3520074.1440873765</v>
      </c>
      <c r="Q14" s="4">
        <f t="shared" si="10"/>
        <v>1728330.1440873765</v>
      </c>
      <c r="R14" s="3">
        <f t="shared" si="11"/>
        <v>578.59316023677741</v>
      </c>
    </row>
    <row r="15" spans="1:18" x14ac:dyDescent="0.25">
      <c r="A15" s="2">
        <v>2023</v>
      </c>
      <c r="B15" s="2" t="s">
        <v>10</v>
      </c>
      <c r="C15" s="3">
        <v>521500</v>
      </c>
      <c r="D15" s="3">
        <v>19044</v>
      </c>
      <c r="E15" s="7">
        <f t="shared" si="18"/>
        <v>27.383952951060703</v>
      </c>
      <c r="F15" s="4">
        <v>112477</v>
      </c>
      <c r="G15" s="4">
        <v>1791744</v>
      </c>
      <c r="H15" s="4">
        <f t="shared" si="14"/>
        <v>3080064.8760764548</v>
      </c>
      <c r="I15" s="4">
        <f t="shared" si="15"/>
        <v>1288320.8760764548</v>
      </c>
      <c r="J15" s="7">
        <f t="shared" si="16"/>
        <v>15.929870106777386</v>
      </c>
      <c r="K15" s="3">
        <f t="shared" si="17"/>
        <v>324.66848596833825</v>
      </c>
      <c r="L15" s="2" t="str">
        <f t="shared" si="5"/>
        <v>Base</v>
      </c>
      <c r="M15" s="7">
        <f t="shared" si="6"/>
        <v>27.383952951060703</v>
      </c>
      <c r="N15" s="4">
        <f t="shared" si="7"/>
        <v>112477</v>
      </c>
      <c r="O15" s="4">
        <f t="shared" si="8"/>
        <v>1791744</v>
      </c>
      <c r="P15" s="4">
        <f t="shared" si="9"/>
        <v>3080064.8760764548</v>
      </c>
      <c r="Q15" s="4">
        <f t="shared" si="10"/>
        <v>1288320.8760764548</v>
      </c>
      <c r="R15" s="3">
        <f t="shared" si="11"/>
        <v>776.20414181711635</v>
      </c>
    </row>
    <row r="16" spans="1:18" x14ac:dyDescent="0.25">
      <c r="A16" s="2">
        <v>2023</v>
      </c>
      <c r="B16" s="2" t="s">
        <v>11</v>
      </c>
      <c r="C16" s="3">
        <v>372500</v>
      </c>
      <c r="D16" s="3">
        <v>19044</v>
      </c>
      <c r="E16" s="7">
        <f t="shared" si="18"/>
        <v>19.559966393614786</v>
      </c>
      <c r="F16" s="4">
        <v>112477</v>
      </c>
      <c r="G16" s="4">
        <v>1791744</v>
      </c>
      <c r="H16" s="4">
        <f t="shared" si="14"/>
        <v>2200046.3400546103</v>
      </c>
      <c r="I16" s="4">
        <f t="shared" si="15"/>
        <v>408302.34005461028</v>
      </c>
      <c r="J16" s="7">
        <f t="shared" si="16"/>
        <v>15.929870106777386</v>
      </c>
      <c r="K16" s="3">
        <f t="shared" si="17"/>
        <v>454.53588035567361</v>
      </c>
      <c r="L16" s="2" t="str">
        <f t="shared" si="5"/>
        <v>Base</v>
      </c>
      <c r="M16" s="7">
        <f t="shared" si="6"/>
        <v>19.559966393614786</v>
      </c>
      <c r="N16" s="4">
        <f t="shared" si="7"/>
        <v>112477</v>
      </c>
      <c r="O16" s="4">
        <f t="shared" si="8"/>
        <v>1791744</v>
      </c>
      <c r="P16" s="4">
        <f t="shared" si="9"/>
        <v>2200046.3400546103</v>
      </c>
      <c r="Q16" s="4">
        <f t="shared" si="10"/>
        <v>408302.34005461028</v>
      </c>
      <c r="R16" s="3">
        <f t="shared" si="11"/>
        <v>2449.1654881680333</v>
      </c>
    </row>
    <row r="17" spans="1:18" x14ac:dyDescent="0.25">
      <c r="A17" s="2">
        <v>2024</v>
      </c>
      <c r="B17" s="2" t="s">
        <v>9</v>
      </c>
      <c r="C17" s="3">
        <v>624000</v>
      </c>
      <c r="D17" s="3">
        <v>19071</v>
      </c>
      <c r="E17" s="7">
        <f t="shared" si="18"/>
        <v>32.719836400817996</v>
      </c>
      <c r="F17" s="4">
        <v>208429</v>
      </c>
      <c r="G17" s="4">
        <v>4090504</v>
      </c>
      <c r="H17" s="4">
        <f t="shared" si="14"/>
        <v>6819762.7811860945</v>
      </c>
      <c r="I17" s="4">
        <f t="shared" si="15"/>
        <v>2729258.7811860945</v>
      </c>
      <c r="J17" s="7">
        <f t="shared" si="16"/>
        <v>19.625407213007787</v>
      </c>
      <c r="K17" s="3">
        <f t="shared" si="17"/>
        <v>146.63266627964438</v>
      </c>
      <c r="L17" s="2" t="str">
        <f t="shared" si="5"/>
        <v>Optimistic</v>
      </c>
      <c r="M17" s="7">
        <f t="shared" si="6"/>
        <v>35.991820040899796</v>
      </c>
      <c r="N17" s="4">
        <f t="shared" si="7"/>
        <v>229271.90000000002</v>
      </c>
      <c r="O17" s="4">
        <f t="shared" si="8"/>
        <v>3681453.6</v>
      </c>
      <c r="P17" s="4">
        <f t="shared" si="9"/>
        <v>8251912.9652351746</v>
      </c>
      <c r="Q17" s="4">
        <f t="shared" si="10"/>
        <v>4570459.3652351741</v>
      </c>
      <c r="R17" s="3">
        <f t="shared" si="11"/>
        <v>218.79638786560895</v>
      </c>
    </row>
    <row r="18" spans="1:18" x14ac:dyDescent="0.25">
      <c r="A18" s="2">
        <v>2024</v>
      </c>
      <c r="B18" s="2" t="s">
        <v>10</v>
      </c>
      <c r="C18" s="3">
        <v>546000</v>
      </c>
      <c r="D18" s="3">
        <v>19071</v>
      </c>
      <c r="E18" s="7">
        <f t="shared" si="18"/>
        <v>28.629856850715747</v>
      </c>
      <c r="F18" s="4">
        <v>208429</v>
      </c>
      <c r="G18" s="4">
        <v>4090504</v>
      </c>
      <c r="H18" s="4">
        <f t="shared" si="14"/>
        <v>5967292.4335378325</v>
      </c>
      <c r="I18" s="4">
        <f t="shared" si="15"/>
        <v>1876788.4335378325</v>
      </c>
      <c r="J18" s="7">
        <f t="shared" si="16"/>
        <v>19.625407213007787</v>
      </c>
      <c r="K18" s="3">
        <f t="shared" si="17"/>
        <v>167.58019003387929</v>
      </c>
      <c r="L18" s="2" t="str">
        <f t="shared" si="5"/>
        <v>Optimistic</v>
      </c>
      <c r="M18" s="7">
        <f t="shared" si="6"/>
        <v>31.492842535787325</v>
      </c>
      <c r="N18" s="4">
        <f t="shared" si="7"/>
        <v>229271.90000000002</v>
      </c>
      <c r="O18" s="4">
        <f t="shared" si="8"/>
        <v>3681453.6</v>
      </c>
      <c r="P18" s="4">
        <f t="shared" si="9"/>
        <v>7220423.8445807789</v>
      </c>
      <c r="Q18" s="4">
        <f t="shared" si="10"/>
        <v>3538970.2445807788</v>
      </c>
      <c r="R18" s="3">
        <f t="shared" si="11"/>
        <v>282.56807231744853</v>
      </c>
    </row>
    <row r="19" spans="1:18" x14ac:dyDescent="0.25">
      <c r="A19" s="2">
        <v>2024</v>
      </c>
      <c r="B19" s="2" t="s">
        <v>11</v>
      </c>
      <c r="C19" s="3">
        <v>390000</v>
      </c>
      <c r="D19" s="3">
        <v>19071</v>
      </c>
      <c r="E19" s="7">
        <f t="shared" si="18"/>
        <v>20.449897750511248</v>
      </c>
      <c r="F19" s="4">
        <v>208429</v>
      </c>
      <c r="G19" s="4">
        <v>4090504</v>
      </c>
      <c r="H19" s="4">
        <f t="shared" si="14"/>
        <v>4262351.7382413093</v>
      </c>
      <c r="I19" s="4">
        <f t="shared" si="15"/>
        <v>171847.7382413093</v>
      </c>
      <c r="J19" s="7">
        <f t="shared" si="16"/>
        <v>19.625407213007787</v>
      </c>
      <c r="K19" s="3">
        <f t="shared" si="17"/>
        <v>234.61226604743098</v>
      </c>
      <c r="L19" s="2" t="str">
        <f t="shared" si="5"/>
        <v>Optimistic</v>
      </c>
      <c r="M19" s="7">
        <f t="shared" si="6"/>
        <v>22.494887525562376</v>
      </c>
      <c r="N19" s="4">
        <f t="shared" si="7"/>
        <v>229271.90000000002</v>
      </c>
      <c r="O19" s="4">
        <f t="shared" si="8"/>
        <v>3681453.6</v>
      </c>
      <c r="P19" s="4">
        <f t="shared" si="9"/>
        <v>5157445.6032719854</v>
      </c>
      <c r="Q19" s="4">
        <f t="shared" si="10"/>
        <v>1475992.0032719853</v>
      </c>
      <c r="R19" s="3">
        <f t="shared" si="11"/>
        <v>677.51044570918793</v>
      </c>
    </row>
    <row r="20" spans="1:18" x14ac:dyDescent="0.25">
      <c r="A20" s="2">
        <v>2025</v>
      </c>
      <c r="B20" s="2" t="s">
        <v>9</v>
      </c>
      <c r="C20" s="3">
        <v>652000</v>
      </c>
      <c r="D20" s="3">
        <v>19044</v>
      </c>
      <c r="E20" s="7">
        <f t="shared" si="18"/>
        <v>34.23650493593783</v>
      </c>
      <c r="F20" s="4">
        <v>266794</v>
      </c>
      <c r="G20" s="4">
        <v>5966183</v>
      </c>
      <c r="H20" s="4">
        <f>E20*F20</f>
        <v>9134094.0978785977</v>
      </c>
      <c r="I20" s="4">
        <f t="shared" si="15"/>
        <v>3167911.0978785977</v>
      </c>
      <c r="J20" s="7">
        <f t="shared" si="16"/>
        <v>22.36250815235725</v>
      </c>
      <c r="K20" s="3">
        <f t="shared" si="17"/>
        <v>109.47993192146454</v>
      </c>
      <c r="L20" s="2" t="str">
        <f t="shared" si="5"/>
        <v>Optimistic</v>
      </c>
      <c r="M20" s="7">
        <f t="shared" si="6"/>
        <v>37.660155429531613</v>
      </c>
      <c r="N20" s="4">
        <f t="shared" si="7"/>
        <v>293473.40000000002</v>
      </c>
      <c r="O20" s="4">
        <f t="shared" si="8"/>
        <v>5369564.7000000002</v>
      </c>
      <c r="P20" s="4">
        <f t="shared" si="9"/>
        <v>11052253.858433103</v>
      </c>
      <c r="Q20" s="4">
        <f t="shared" si="10"/>
        <v>5682689.158433103</v>
      </c>
      <c r="R20" s="3">
        <f t="shared" si="11"/>
        <v>175.97302476346104</v>
      </c>
    </row>
    <row r="21" spans="1:18" x14ac:dyDescent="0.25">
      <c r="A21" s="2">
        <v>2025</v>
      </c>
      <c r="B21" s="2" t="s">
        <v>10</v>
      </c>
      <c r="C21" s="3">
        <v>570500</v>
      </c>
      <c r="D21" s="3">
        <v>19044</v>
      </c>
      <c r="E21" s="7">
        <f t="shared" si="18"/>
        <v>29.956941818945598</v>
      </c>
      <c r="F21" s="4">
        <v>266794</v>
      </c>
      <c r="G21" s="4">
        <v>5966183</v>
      </c>
      <c r="H21" s="4">
        <f t="shared" ref="H21:H22" si="19">E21*F21</f>
        <v>7992332.335643772</v>
      </c>
      <c r="I21" s="4">
        <f t="shared" si="15"/>
        <v>2026149.335643772</v>
      </c>
      <c r="J21" s="7">
        <f t="shared" si="16"/>
        <v>22.36250815235725</v>
      </c>
      <c r="K21" s="3">
        <f t="shared" si="17"/>
        <v>125.1199221959595</v>
      </c>
      <c r="L21" s="2" t="str">
        <f t="shared" si="5"/>
        <v>Optimistic</v>
      </c>
      <c r="M21" s="7">
        <f t="shared" si="6"/>
        <v>32.952636000840158</v>
      </c>
      <c r="N21" s="4">
        <f t="shared" si="7"/>
        <v>293473.40000000002</v>
      </c>
      <c r="O21" s="4">
        <f t="shared" si="8"/>
        <v>5369564.7000000002</v>
      </c>
      <c r="P21" s="4">
        <f t="shared" si="9"/>
        <v>9670722.1261289641</v>
      </c>
      <c r="Q21" s="4">
        <f t="shared" si="10"/>
        <v>4301157.4261289639</v>
      </c>
      <c r="R21" s="3">
        <f t="shared" si="11"/>
        <v>232.49555896864689</v>
      </c>
    </row>
    <row r="22" spans="1:18" x14ac:dyDescent="0.25">
      <c r="A22" s="2">
        <v>2025</v>
      </c>
      <c r="B22" s="2" t="s">
        <v>11</v>
      </c>
      <c r="C22" s="3">
        <v>407500</v>
      </c>
      <c r="D22" s="3">
        <v>19044</v>
      </c>
      <c r="E22" s="7">
        <f t="shared" si="18"/>
        <v>21.397815584961144</v>
      </c>
      <c r="F22" s="4">
        <v>266794</v>
      </c>
      <c r="G22" s="4">
        <v>5966183</v>
      </c>
      <c r="H22" s="4">
        <f t="shared" si="19"/>
        <v>5708808.8111741235</v>
      </c>
      <c r="I22" s="6">
        <f t="shared" si="15"/>
        <v>-257374.18882587645</v>
      </c>
      <c r="J22" s="7">
        <f t="shared" si="16"/>
        <v>22.36250815235725</v>
      </c>
      <c r="K22" s="3">
        <f t="shared" si="17"/>
        <v>175.16789107434329</v>
      </c>
      <c r="L22" s="2" t="str">
        <f t="shared" si="5"/>
        <v>Optimistic</v>
      </c>
      <c r="M22" s="7">
        <f t="shared" si="6"/>
        <v>23.537597143457262</v>
      </c>
      <c r="N22" s="4">
        <f t="shared" si="7"/>
        <v>293473.40000000002</v>
      </c>
      <c r="O22" s="4">
        <f t="shared" si="8"/>
        <v>5369564.7000000002</v>
      </c>
      <c r="P22" s="4">
        <f t="shared" si="9"/>
        <v>6907658.6615206907</v>
      </c>
      <c r="Q22" s="4">
        <f t="shared" si="10"/>
        <v>1538093.9615206905</v>
      </c>
      <c r="R22" s="3">
        <f t="shared" si="11"/>
        <v>650.15533837173052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EDCA-E36C-4142-B8CC-F31375661BF4}">
  <dimension ref="A1:F22"/>
  <sheetViews>
    <sheetView workbookViewId="0">
      <selection activeCell="G21" sqref="G21"/>
    </sheetView>
  </sheetViews>
  <sheetFormatPr defaultRowHeight="15" x14ac:dyDescent="0.25"/>
  <cols>
    <col min="2" max="2" width="13.42578125" customWidth="1"/>
    <col min="3" max="3" width="13.85546875" style="1" customWidth="1"/>
    <col min="4" max="4" width="9.140625" style="1"/>
    <col min="5" max="5" width="16.140625" style="5" customWidth="1"/>
    <col min="6" max="6" width="15.85546875" style="5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4" t="s">
        <v>21</v>
      </c>
      <c r="F1" s="4" t="s">
        <v>22</v>
      </c>
    </row>
    <row r="2" spans="1:6" x14ac:dyDescent="0.25">
      <c r="A2" s="2">
        <v>2019</v>
      </c>
      <c r="B2" s="2" t="s">
        <v>9</v>
      </c>
      <c r="C2" s="3">
        <v>488000</v>
      </c>
      <c r="D2" s="3">
        <v>11416</v>
      </c>
      <c r="E2" s="4">
        <v>18867271000</v>
      </c>
      <c r="F2" s="4">
        <v>7354314000</v>
      </c>
    </row>
    <row r="3" spans="1:6" x14ac:dyDescent="0.25">
      <c r="A3" s="2">
        <v>2019</v>
      </c>
      <c r="B3" s="2" t="s">
        <v>10</v>
      </c>
      <c r="C3" s="3">
        <v>427000</v>
      </c>
      <c r="D3" s="3">
        <v>11416</v>
      </c>
      <c r="E3" s="4">
        <v>18867271000</v>
      </c>
      <c r="F3" s="4">
        <v>7354314000</v>
      </c>
    </row>
    <row r="4" spans="1:6" x14ac:dyDescent="0.25">
      <c r="A4" s="2">
        <v>2019</v>
      </c>
      <c r="B4" s="2" t="s">
        <v>11</v>
      </c>
      <c r="C4" s="3">
        <v>305000</v>
      </c>
      <c r="D4" s="3">
        <v>11416</v>
      </c>
      <c r="E4" s="4">
        <v>18867271000</v>
      </c>
      <c r="F4" s="4">
        <v>7354314000</v>
      </c>
    </row>
    <row r="5" spans="1:6" x14ac:dyDescent="0.25">
      <c r="A5" s="2">
        <v>2020</v>
      </c>
      <c r="B5" s="2" t="s">
        <v>9</v>
      </c>
      <c r="C5" s="3">
        <v>512000</v>
      </c>
      <c r="D5" s="3">
        <v>15654</v>
      </c>
      <c r="E5" s="4">
        <v>23410680000</v>
      </c>
      <c r="F5" s="4">
        <v>8694913000</v>
      </c>
    </row>
    <row r="6" spans="1:6" x14ac:dyDescent="0.25">
      <c r="A6" s="2">
        <v>2020</v>
      </c>
      <c r="B6" s="2" t="s">
        <v>10</v>
      </c>
      <c r="C6" s="3">
        <v>448000</v>
      </c>
      <c r="D6" s="3">
        <v>15654</v>
      </c>
      <c r="E6" s="4">
        <v>23410680000</v>
      </c>
      <c r="F6" s="4">
        <v>8694913000</v>
      </c>
    </row>
    <row r="7" spans="1:6" x14ac:dyDescent="0.25">
      <c r="A7" s="2">
        <v>2020</v>
      </c>
      <c r="B7" s="2" t="s">
        <v>11</v>
      </c>
      <c r="C7" s="3">
        <v>320000</v>
      </c>
      <c r="D7" s="3">
        <v>15654</v>
      </c>
      <c r="E7" s="4">
        <v>23410680000</v>
      </c>
      <c r="F7" s="4">
        <v>8694913000</v>
      </c>
    </row>
    <row r="8" spans="1:6" x14ac:dyDescent="0.25">
      <c r="A8" s="2">
        <v>2021</v>
      </c>
      <c r="B8" s="2" t="s">
        <v>9</v>
      </c>
      <c r="C8" s="3">
        <v>540000</v>
      </c>
      <c r="D8" s="3">
        <v>18879</v>
      </c>
      <c r="E8" s="4">
        <v>37394507000</v>
      </c>
      <c r="F8" s="4">
        <v>16114778000</v>
      </c>
    </row>
    <row r="9" spans="1:6" x14ac:dyDescent="0.25">
      <c r="A9" s="2">
        <v>2021</v>
      </c>
      <c r="B9" s="2" t="s">
        <v>10</v>
      </c>
      <c r="C9" s="3">
        <v>472000</v>
      </c>
      <c r="D9" s="3">
        <v>18879</v>
      </c>
      <c r="E9" s="4">
        <v>37394507000</v>
      </c>
      <c r="F9" s="4">
        <v>16114778000</v>
      </c>
    </row>
    <row r="10" spans="1:6" x14ac:dyDescent="0.25">
      <c r="A10" s="2">
        <v>2021</v>
      </c>
      <c r="B10" s="2" t="s">
        <v>11</v>
      </c>
      <c r="C10" s="3">
        <v>337500</v>
      </c>
      <c r="D10" s="3">
        <v>18879</v>
      </c>
      <c r="E10" s="4">
        <v>37394507000</v>
      </c>
      <c r="F10" s="4">
        <v>16114778000</v>
      </c>
    </row>
    <row r="11" spans="1:6" x14ac:dyDescent="0.25">
      <c r="A11" s="2">
        <v>2022</v>
      </c>
      <c r="B11" s="2" t="s">
        <v>9</v>
      </c>
      <c r="C11" s="3">
        <v>568000</v>
      </c>
      <c r="D11" s="3">
        <v>19060</v>
      </c>
      <c r="E11" s="4">
        <v>53749832000</v>
      </c>
      <c r="F11" s="4">
        <v>24914070000</v>
      </c>
    </row>
    <row r="12" spans="1:6" x14ac:dyDescent="0.25">
      <c r="A12" s="2">
        <v>2022</v>
      </c>
      <c r="B12" s="2" t="s">
        <v>10</v>
      </c>
      <c r="C12" s="3">
        <v>497000</v>
      </c>
      <c r="D12" s="3">
        <v>19060</v>
      </c>
      <c r="E12" s="4">
        <v>53749832000</v>
      </c>
      <c r="F12" s="4">
        <v>24914070000</v>
      </c>
    </row>
    <row r="13" spans="1:6" x14ac:dyDescent="0.25">
      <c r="A13" s="2">
        <v>2022</v>
      </c>
      <c r="B13" s="2" t="s">
        <v>11</v>
      </c>
      <c r="C13" s="3">
        <v>355000</v>
      </c>
      <c r="D13" s="3">
        <v>19060</v>
      </c>
      <c r="E13" s="4">
        <v>53749832000</v>
      </c>
      <c r="F13" s="4">
        <v>24914070000</v>
      </c>
    </row>
    <row r="14" spans="1:6" x14ac:dyDescent="0.25">
      <c r="A14" s="2">
        <v>2023</v>
      </c>
      <c r="B14" s="2" t="s">
        <v>9</v>
      </c>
      <c r="C14" s="3">
        <v>596000</v>
      </c>
      <c r="D14" s="3">
        <v>19044</v>
      </c>
      <c r="E14" s="4">
        <v>67036501000</v>
      </c>
      <c r="F14" s="4">
        <v>32914537000</v>
      </c>
    </row>
    <row r="15" spans="1:6" x14ac:dyDescent="0.25">
      <c r="A15" s="2">
        <v>2023</v>
      </c>
      <c r="B15" s="2" t="s">
        <v>10</v>
      </c>
      <c r="C15" s="3">
        <v>521500</v>
      </c>
      <c r="D15" s="3">
        <v>19044</v>
      </c>
      <c r="E15" s="4">
        <v>67036501000</v>
      </c>
      <c r="F15" s="4">
        <v>32914537000</v>
      </c>
    </row>
    <row r="16" spans="1:6" x14ac:dyDescent="0.25">
      <c r="A16" s="2">
        <v>2023</v>
      </c>
      <c r="B16" s="2" t="s">
        <v>11</v>
      </c>
      <c r="C16" s="3">
        <v>372500</v>
      </c>
      <c r="D16" s="3">
        <v>19044</v>
      </c>
      <c r="E16" s="4">
        <v>67036501000</v>
      </c>
      <c r="F16" s="4">
        <v>32914537000</v>
      </c>
    </row>
    <row r="17" spans="1:6" x14ac:dyDescent="0.25">
      <c r="A17" s="2">
        <v>2024</v>
      </c>
      <c r="B17" s="2" t="s">
        <v>9</v>
      </c>
      <c r="C17" s="3">
        <v>624000</v>
      </c>
      <c r="D17" s="3">
        <v>19071</v>
      </c>
      <c r="E17" s="4">
        <v>130210665000</v>
      </c>
      <c r="F17" s="4">
        <v>53555458000</v>
      </c>
    </row>
    <row r="18" spans="1:6" x14ac:dyDescent="0.25">
      <c r="A18" s="2">
        <v>2024</v>
      </c>
      <c r="B18" s="2" t="s">
        <v>10</v>
      </c>
      <c r="C18" s="3">
        <v>546000</v>
      </c>
      <c r="D18" s="3">
        <v>19071</v>
      </c>
      <c r="E18" s="4">
        <v>130210665000</v>
      </c>
      <c r="F18" s="4">
        <v>53555458000</v>
      </c>
    </row>
    <row r="19" spans="1:6" x14ac:dyDescent="0.25">
      <c r="A19" s="2">
        <v>2024</v>
      </c>
      <c r="B19" s="2" t="s">
        <v>11</v>
      </c>
      <c r="C19" s="3">
        <v>390000</v>
      </c>
      <c r="D19" s="3">
        <v>19071</v>
      </c>
      <c r="E19" s="4">
        <v>130210665000</v>
      </c>
      <c r="F19" s="4">
        <v>53555458000</v>
      </c>
    </row>
    <row r="20" spans="1:6" x14ac:dyDescent="0.25">
      <c r="A20" s="2">
        <v>2025</v>
      </c>
      <c r="B20" s="2" t="s">
        <v>9</v>
      </c>
      <c r="C20" s="3">
        <v>652000</v>
      </c>
      <c r="D20" s="3">
        <v>19044</v>
      </c>
      <c r="E20" s="4">
        <v>174000000000</v>
      </c>
      <c r="F20" s="4">
        <v>84100000000</v>
      </c>
    </row>
    <row r="21" spans="1:6" x14ac:dyDescent="0.25">
      <c r="A21" s="2">
        <v>2025</v>
      </c>
      <c r="B21" s="2" t="s">
        <v>10</v>
      </c>
      <c r="C21" s="3">
        <v>570500</v>
      </c>
      <c r="D21" s="3">
        <v>19044</v>
      </c>
      <c r="E21" s="4">
        <v>174000000000</v>
      </c>
      <c r="F21" s="4">
        <v>84100000000</v>
      </c>
    </row>
    <row r="22" spans="1:6" x14ac:dyDescent="0.25">
      <c r="A22" s="2">
        <v>2025</v>
      </c>
      <c r="B22" s="2" t="s">
        <v>11</v>
      </c>
      <c r="C22" s="3">
        <v>407500</v>
      </c>
      <c r="D22" s="3">
        <v>19044</v>
      </c>
      <c r="E22" s="4">
        <v>174000000000</v>
      </c>
      <c r="F22" s="4">
        <v>84100000000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93FB-65D3-4654-9199-0C94010367D1}">
  <dimension ref="A1:H22"/>
  <sheetViews>
    <sheetView workbookViewId="0">
      <selection activeCell="L14" sqref="L14"/>
    </sheetView>
  </sheetViews>
  <sheetFormatPr defaultRowHeight="15" x14ac:dyDescent="0.25"/>
  <cols>
    <col min="2" max="2" width="11.28515625" customWidth="1"/>
    <col min="3" max="3" width="13.140625" customWidth="1"/>
    <col min="5" max="5" width="12.7109375" customWidth="1"/>
    <col min="6" max="6" width="11.85546875" customWidth="1"/>
    <col min="7" max="7" width="12.7109375" customWidth="1"/>
    <col min="8" max="8" width="16" customWidth="1"/>
  </cols>
  <sheetData>
    <row r="1" spans="1:8" x14ac:dyDescent="0.25">
      <c r="A1" s="2" t="s">
        <v>0</v>
      </c>
      <c r="B1" s="2" t="s">
        <v>1</v>
      </c>
      <c r="C1" s="3" t="s">
        <v>2</v>
      </c>
      <c r="D1" s="3" t="s">
        <v>3</v>
      </c>
      <c r="E1" s="7" t="s">
        <v>12</v>
      </c>
      <c r="F1" s="4" t="s">
        <v>5</v>
      </c>
      <c r="G1" s="4" t="s">
        <v>4</v>
      </c>
      <c r="H1" s="4" t="s">
        <v>7</v>
      </c>
    </row>
    <row r="2" spans="1:8" x14ac:dyDescent="0.25">
      <c r="A2" s="2">
        <v>2019</v>
      </c>
      <c r="B2" s="2" t="s">
        <v>9</v>
      </c>
      <c r="C2" s="3">
        <v>488000</v>
      </c>
      <c r="D2" s="3">
        <v>11416</v>
      </c>
      <c r="E2" s="7">
        <f>C2/D2</f>
        <v>42.747021723896289</v>
      </c>
      <c r="F2" s="4">
        <v>38662</v>
      </c>
      <c r="G2" s="4">
        <v>857260</v>
      </c>
      <c r="H2" s="4">
        <f>E2*F2</f>
        <v>1652685.3538892784</v>
      </c>
    </row>
    <row r="3" spans="1:8" x14ac:dyDescent="0.25">
      <c r="A3" s="2">
        <v>2019</v>
      </c>
      <c r="B3" s="2" t="s">
        <v>10</v>
      </c>
      <c r="C3" s="3">
        <v>427000</v>
      </c>
      <c r="D3" s="3">
        <v>11416</v>
      </c>
      <c r="E3" s="7">
        <f t="shared" ref="E3:E4" si="0">C3/D3</f>
        <v>37.403644008409252</v>
      </c>
      <c r="F3" s="4">
        <v>38662</v>
      </c>
      <c r="G3" s="4">
        <v>857260</v>
      </c>
      <c r="H3" s="4">
        <f t="shared" ref="H3:H7" si="1">E3*F3</f>
        <v>1446099.6846531185</v>
      </c>
    </row>
    <row r="4" spans="1:8" x14ac:dyDescent="0.25">
      <c r="A4" s="2">
        <v>2019</v>
      </c>
      <c r="B4" s="2" t="s">
        <v>11</v>
      </c>
      <c r="C4" s="3">
        <v>305000</v>
      </c>
      <c r="D4" s="3">
        <v>11416</v>
      </c>
      <c r="E4" s="7">
        <f t="shared" si="0"/>
        <v>26.716888577435178</v>
      </c>
      <c r="F4" s="4">
        <v>38662</v>
      </c>
      <c r="G4" s="4">
        <v>857260</v>
      </c>
      <c r="H4" s="4">
        <f t="shared" si="1"/>
        <v>1032928.3461807988</v>
      </c>
    </row>
    <row r="5" spans="1:8" x14ac:dyDescent="0.25">
      <c r="A5" s="2">
        <v>2020</v>
      </c>
      <c r="B5" s="2" t="s">
        <v>9</v>
      </c>
      <c r="C5" s="3">
        <v>512000</v>
      </c>
      <c r="D5" s="3">
        <v>15654</v>
      </c>
      <c r="E5" s="7">
        <f>C5/D5</f>
        <v>32.707295259997444</v>
      </c>
      <c r="F5" s="4">
        <v>45724</v>
      </c>
      <c r="G5" s="4">
        <v>940064</v>
      </c>
      <c r="H5" s="4">
        <f t="shared" si="1"/>
        <v>1495508.3684681233</v>
      </c>
    </row>
    <row r="6" spans="1:8" x14ac:dyDescent="0.25">
      <c r="A6" s="2">
        <v>2020</v>
      </c>
      <c r="B6" s="2" t="s">
        <v>10</v>
      </c>
      <c r="C6" s="3">
        <v>448000</v>
      </c>
      <c r="D6" s="3">
        <v>15654</v>
      </c>
      <c r="E6" s="7">
        <f t="shared" ref="E6:E7" si="2">C6/D6</f>
        <v>28.618883352497765</v>
      </c>
      <c r="F6" s="4">
        <v>45724</v>
      </c>
      <c r="G6" s="4">
        <v>940064</v>
      </c>
      <c r="H6" s="4">
        <f t="shared" si="1"/>
        <v>1308569.8224096077</v>
      </c>
    </row>
    <row r="7" spans="1:8" x14ac:dyDescent="0.25">
      <c r="A7" s="2">
        <v>2020</v>
      </c>
      <c r="B7" s="2" t="s">
        <v>11</v>
      </c>
      <c r="C7" s="3">
        <v>320000</v>
      </c>
      <c r="D7" s="3">
        <v>15654</v>
      </c>
      <c r="E7" s="7">
        <f t="shared" si="2"/>
        <v>20.442059537498402</v>
      </c>
      <c r="F7" s="4">
        <v>45724</v>
      </c>
      <c r="G7" s="4">
        <v>940064</v>
      </c>
      <c r="H7" s="4">
        <f t="shared" si="1"/>
        <v>934692.73029257695</v>
      </c>
    </row>
    <row r="8" spans="1:8" x14ac:dyDescent="0.25">
      <c r="A8" s="2">
        <v>2021</v>
      </c>
      <c r="B8" s="2" t="s">
        <v>9</v>
      </c>
      <c r="C8" s="3">
        <v>540000</v>
      </c>
      <c r="D8" s="3">
        <v>18879</v>
      </c>
      <c r="E8" s="7">
        <f>C8/D8</f>
        <v>28.603209915779438</v>
      </c>
      <c r="F8" s="4">
        <v>69249</v>
      </c>
      <c r="G8" s="4">
        <v>1127164</v>
      </c>
      <c r="H8" s="4">
        <f>E8*F8</f>
        <v>1980743.6834578102</v>
      </c>
    </row>
    <row r="9" spans="1:8" x14ac:dyDescent="0.25">
      <c r="A9" s="2">
        <v>2021</v>
      </c>
      <c r="B9" s="2" t="s">
        <v>10</v>
      </c>
      <c r="C9" s="3">
        <v>472000</v>
      </c>
      <c r="D9" s="3">
        <v>18879</v>
      </c>
      <c r="E9" s="7">
        <f t="shared" ref="E9:E10" si="3">C9/D9</f>
        <v>25.001324222681287</v>
      </c>
      <c r="F9" s="4">
        <v>69249</v>
      </c>
      <c r="G9" s="4">
        <v>1127164</v>
      </c>
      <c r="H9" s="4">
        <f t="shared" ref="H9:H19" si="4">E9*F9</f>
        <v>1731316.7010964565</v>
      </c>
    </row>
    <row r="10" spans="1:8" x14ac:dyDescent="0.25">
      <c r="A10" s="2">
        <v>2021</v>
      </c>
      <c r="B10" s="2" t="s">
        <v>11</v>
      </c>
      <c r="C10" s="3">
        <v>337500</v>
      </c>
      <c r="D10" s="3">
        <v>18879</v>
      </c>
      <c r="E10" s="7">
        <f t="shared" si="3"/>
        <v>17.877006197362149</v>
      </c>
      <c r="F10" s="4">
        <v>69249</v>
      </c>
      <c r="G10" s="4">
        <v>1127164</v>
      </c>
      <c r="H10" s="4">
        <f t="shared" si="4"/>
        <v>1237964.8021611315</v>
      </c>
    </row>
    <row r="11" spans="1:8" x14ac:dyDescent="0.25">
      <c r="A11" s="2">
        <v>2022</v>
      </c>
      <c r="B11" s="2" t="s">
        <v>9</v>
      </c>
      <c r="C11" s="3">
        <v>568000</v>
      </c>
      <c r="D11" s="3">
        <v>19060</v>
      </c>
      <c r="E11" s="7">
        <f>C11/D11</f>
        <v>29.800629590766</v>
      </c>
      <c r="F11" s="4">
        <v>55928</v>
      </c>
      <c r="G11" s="4">
        <v>1512894</v>
      </c>
      <c r="H11" s="4">
        <f t="shared" si="4"/>
        <v>1666689.6117523608</v>
      </c>
    </row>
    <row r="12" spans="1:8" x14ac:dyDescent="0.25">
      <c r="A12" s="2">
        <v>2022</v>
      </c>
      <c r="B12" s="2" t="s">
        <v>10</v>
      </c>
      <c r="C12" s="3">
        <v>497000</v>
      </c>
      <c r="D12" s="3">
        <v>19060</v>
      </c>
      <c r="E12" s="7">
        <f t="shared" ref="E12:E22" si="5">C12/D12</f>
        <v>26.075550891920251</v>
      </c>
      <c r="F12" s="4">
        <v>55928</v>
      </c>
      <c r="G12" s="4">
        <v>1512894</v>
      </c>
      <c r="H12" s="4">
        <f t="shared" si="4"/>
        <v>1458353.4102833157</v>
      </c>
    </row>
    <row r="13" spans="1:8" x14ac:dyDescent="0.25">
      <c r="A13" s="2">
        <v>2022</v>
      </c>
      <c r="B13" s="2" t="s">
        <v>11</v>
      </c>
      <c r="C13" s="3">
        <v>355000</v>
      </c>
      <c r="D13" s="3">
        <v>19060</v>
      </c>
      <c r="E13" s="7">
        <f t="shared" si="5"/>
        <v>18.625393494228753</v>
      </c>
      <c r="F13" s="4">
        <v>55928</v>
      </c>
      <c r="G13" s="4">
        <v>1512894</v>
      </c>
      <c r="H13" s="4">
        <f t="shared" si="4"/>
        <v>1041681.0073452257</v>
      </c>
    </row>
    <row r="14" spans="1:8" x14ac:dyDescent="0.25">
      <c r="A14" s="2">
        <v>2023</v>
      </c>
      <c r="B14" s="2" t="s">
        <v>9</v>
      </c>
      <c r="C14" s="3">
        <v>596000</v>
      </c>
      <c r="D14" s="3">
        <v>19044</v>
      </c>
      <c r="E14" s="7">
        <f t="shared" si="5"/>
        <v>31.295946229783659</v>
      </c>
      <c r="F14" s="4">
        <v>112477</v>
      </c>
      <c r="G14" s="4">
        <v>1791744</v>
      </c>
      <c r="H14" s="4">
        <f t="shared" si="4"/>
        <v>3520074.1440873765</v>
      </c>
    </row>
    <row r="15" spans="1:8" x14ac:dyDescent="0.25">
      <c r="A15" s="2">
        <v>2023</v>
      </c>
      <c r="B15" s="2" t="s">
        <v>10</v>
      </c>
      <c r="C15" s="3">
        <v>521500</v>
      </c>
      <c r="D15" s="3">
        <v>19044</v>
      </c>
      <c r="E15" s="7">
        <f t="shared" si="5"/>
        <v>27.383952951060703</v>
      </c>
      <c r="F15" s="4">
        <v>112477</v>
      </c>
      <c r="G15" s="4">
        <v>1791744</v>
      </c>
      <c r="H15" s="4">
        <f t="shared" si="4"/>
        <v>3080064.8760764548</v>
      </c>
    </row>
    <row r="16" spans="1:8" x14ac:dyDescent="0.25">
      <c r="A16" s="2">
        <v>2023</v>
      </c>
      <c r="B16" s="2" t="s">
        <v>11</v>
      </c>
      <c r="C16" s="3">
        <v>372500</v>
      </c>
      <c r="D16" s="3">
        <v>19044</v>
      </c>
      <c r="E16" s="7">
        <f t="shared" si="5"/>
        <v>19.559966393614786</v>
      </c>
      <c r="F16" s="4">
        <v>112477</v>
      </c>
      <c r="G16" s="4">
        <v>1791744</v>
      </c>
      <c r="H16" s="4">
        <f t="shared" si="4"/>
        <v>2200046.3400546103</v>
      </c>
    </row>
    <row r="17" spans="1:8" x14ac:dyDescent="0.25">
      <c r="A17" s="2">
        <v>2024</v>
      </c>
      <c r="B17" s="2" t="s">
        <v>9</v>
      </c>
      <c r="C17" s="3">
        <v>624000</v>
      </c>
      <c r="D17" s="3">
        <v>19071</v>
      </c>
      <c r="E17" s="7">
        <f t="shared" si="5"/>
        <v>32.719836400817996</v>
      </c>
      <c r="F17" s="4">
        <v>208429</v>
      </c>
      <c r="G17" s="4">
        <v>4090504</v>
      </c>
      <c r="H17" s="4">
        <f t="shared" si="4"/>
        <v>6819762.7811860945</v>
      </c>
    </row>
    <row r="18" spans="1:8" x14ac:dyDescent="0.25">
      <c r="A18" s="2">
        <v>2024</v>
      </c>
      <c r="B18" s="2" t="s">
        <v>10</v>
      </c>
      <c r="C18" s="3">
        <v>546000</v>
      </c>
      <c r="D18" s="3">
        <v>19071</v>
      </c>
      <c r="E18" s="7">
        <f t="shared" si="5"/>
        <v>28.629856850715747</v>
      </c>
      <c r="F18" s="4">
        <v>208429</v>
      </c>
      <c r="G18" s="4">
        <v>4090504</v>
      </c>
      <c r="H18" s="4">
        <f t="shared" si="4"/>
        <v>5967292.4335378325</v>
      </c>
    </row>
    <row r="19" spans="1:8" x14ac:dyDescent="0.25">
      <c r="A19" s="2">
        <v>2024</v>
      </c>
      <c r="B19" s="2" t="s">
        <v>11</v>
      </c>
      <c r="C19" s="3">
        <v>390000</v>
      </c>
      <c r="D19" s="3">
        <v>19071</v>
      </c>
      <c r="E19" s="7">
        <f t="shared" si="5"/>
        <v>20.449897750511248</v>
      </c>
      <c r="F19" s="4">
        <v>208429</v>
      </c>
      <c r="G19" s="4">
        <v>4090504</v>
      </c>
      <c r="H19" s="4">
        <f t="shared" si="4"/>
        <v>4262351.7382413093</v>
      </c>
    </row>
    <row r="20" spans="1:8" x14ac:dyDescent="0.25">
      <c r="A20" s="2">
        <v>2025</v>
      </c>
      <c r="B20" s="2" t="s">
        <v>9</v>
      </c>
      <c r="C20" s="3">
        <v>652000</v>
      </c>
      <c r="D20" s="3">
        <v>19044</v>
      </c>
      <c r="E20" s="7">
        <f t="shared" si="5"/>
        <v>34.23650493593783</v>
      </c>
      <c r="F20" s="4">
        <v>266794</v>
      </c>
      <c r="G20" s="4">
        <v>5966183</v>
      </c>
      <c r="H20" s="4">
        <f>E20*F20</f>
        <v>9134094.0978785977</v>
      </c>
    </row>
    <row r="21" spans="1:8" x14ac:dyDescent="0.25">
      <c r="A21" s="2">
        <v>2025</v>
      </c>
      <c r="B21" s="2" t="s">
        <v>10</v>
      </c>
      <c r="C21" s="3">
        <v>570500</v>
      </c>
      <c r="D21" s="3">
        <v>19044</v>
      </c>
      <c r="E21" s="7">
        <f t="shared" si="5"/>
        <v>29.956941818945598</v>
      </c>
      <c r="F21" s="4">
        <v>266794</v>
      </c>
      <c r="G21" s="4">
        <v>5966183</v>
      </c>
      <c r="H21" s="4">
        <f t="shared" ref="H21:H22" si="6">E21*F21</f>
        <v>7992332.335643772</v>
      </c>
    </row>
    <row r="22" spans="1:8" x14ac:dyDescent="0.25">
      <c r="A22" s="2">
        <v>2025</v>
      </c>
      <c r="B22" s="2" t="s">
        <v>11</v>
      </c>
      <c r="C22" s="3">
        <v>407500</v>
      </c>
      <c r="D22" s="3">
        <v>19044</v>
      </c>
      <c r="E22" s="7">
        <f t="shared" si="5"/>
        <v>21.397815584961144</v>
      </c>
      <c r="F22" s="4">
        <v>266794</v>
      </c>
      <c r="G22" s="4">
        <v>5966183</v>
      </c>
      <c r="H22" s="4">
        <f t="shared" si="6"/>
        <v>5708808.8111741235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8C69-EDF6-4587-8C37-0CB5016D8B7A}">
  <dimension ref="A1:F7"/>
  <sheetViews>
    <sheetView workbookViewId="0">
      <selection activeCell="J16" sqref="J16"/>
    </sheetView>
  </sheetViews>
  <sheetFormatPr defaultRowHeight="15" x14ac:dyDescent="0.25"/>
  <cols>
    <col min="1" max="1" width="15.140625" customWidth="1"/>
    <col min="5" max="5" width="14.140625" customWidth="1"/>
    <col min="6" max="6" width="16" customWidth="1"/>
  </cols>
  <sheetData>
    <row r="1" spans="1:6" x14ac:dyDescent="0.25">
      <c r="A1" t="s">
        <v>14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t="s">
        <v>23</v>
      </c>
      <c r="B2" s="9">
        <v>-0.2</v>
      </c>
      <c r="C2">
        <v>-10</v>
      </c>
      <c r="D2" s="9">
        <v>0.1</v>
      </c>
      <c r="E2" s="1">
        <v>650000</v>
      </c>
      <c r="F2">
        <f>1000000000/E2</f>
        <v>1538.4615384615386</v>
      </c>
    </row>
    <row r="3" spans="1:6" x14ac:dyDescent="0.25">
      <c r="A3" t="s">
        <v>24</v>
      </c>
      <c r="B3" s="9">
        <v>0</v>
      </c>
      <c r="C3" s="9">
        <v>0</v>
      </c>
      <c r="D3" s="9">
        <v>0</v>
      </c>
      <c r="E3" s="1">
        <v>900000</v>
      </c>
      <c r="F3">
        <f t="shared" ref="F3:F4" si="0">1000000000/E3</f>
        <v>1111.1111111111111</v>
      </c>
    </row>
    <row r="4" spans="1:6" x14ac:dyDescent="0.25">
      <c r="A4" t="s">
        <v>25</v>
      </c>
      <c r="B4" s="9">
        <v>0.15</v>
      </c>
      <c r="C4" s="9">
        <v>-0.05</v>
      </c>
      <c r="D4" s="9">
        <v>-0.05</v>
      </c>
      <c r="E4" s="1">
        <v>1100000</v>
      </c>
      <c r="F4">
        <f t="shared" si="0"/>
        <v>909.09090909090912</v>
      </c>
    </row>
    <row r="7" spans="1:6" x14ac:dyDescent="0.25">
      <c r="A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Model_Calculation</vt:lpstr>
      <vt:lpstr>Raw_Data</vt:lpstr>
      <vt:lpstr>Cleaned_Data</vt:lpstr>
      <vt:lpstr>Scenario_Summary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Osolake</dc:creator>
  <cp:lastModifiedBy>Mariam Osolake</cp:lastModifiedBy>
  <dcterms:created xsi:type="dcterms:W3CDTF">2025-11-10T16:22:33Z</dcterms:created>
  <dcterms:modified xsi:type="dcterms:W3CDTF">2025-11-12T11:44:01Z</dcterms:modified>
</cp:coreProperties>
</file>